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xtreme\Desktop\"/>
    </mc:Choice>
  </mc:AlternateContent>
  <xr:revisionPtr revIDLastSave="0" documentId="13_ncr:1_{73CD00DF-75F4-43F1-8D78-AF004F945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21" i="1" s="1"/>
  <c r="H21" i="1"/>
  <c r="F21" i="1"/>
  <c r="H20" i="1"/>
  <c r="F20" i="1"/>
  <c r="E20" i="1"/>
</calcChain>
</file>

<file path=xl/sharedStrings.xml><?xml version="1.0" encoding="utf-8"?>
<sst xmlns="http://schemas.openxmlformats.org/spreadsheetml/2006/main" count="43" uniqueCount="40">
  <si>
    <t>Description</t>
  </si>
  <si>
    <t>TCs Pending</t>
  </si>
  <si>
    <t>Priority</t>
  </si>
  <si>
    <t>Remarks</t>
  </si>
  <si>
    <t>Test summary report for axsos application</t>
  </si>
  <si>
    <t xml:space="preserve">tested by </t>
  </si>
  <si>
    <t>test date</t>
  </si>
  <si>
    <t xml:space="preserve">Test name </t>
  </si>
  <si>
    <t>test objective</t>
  </si>
  <si>
    <t xml:space="preserve"> TCs Executed</t>
  </si>
  <si>
    <t xml:space="preserve"> TCs Passed</t>
  </si>
  <si>
    <t>function</t>
  </si>
  <si>
    <t>TC failed</t>
  </si>
  <si>
    <t>high</t>
  </si>
  <si>
    <t>TC id</t>
  </si>
  <si>
    <t>Meduim</t>
  </si>
  <si>
    <t>fadi halaweh , maryan Qasis , ibraheem ahmad</t>
  </si>
  <si>
    <t>OrangHRM live project</t>
  </si>
  <si>
    <t>make sure the system doesn’t have critical bugs, and test per the SRS document.</t>
  </si>
  <si>
    <t>Login functionallity</t>
  </si>
  <si>
    <t>myinfo module</t>
  </si>
  <si>
    <t>admin module</t>
  </si>
  <si>
    <t>job module</t>
  </si>
  <si>
    <t>organization module</t>
  </si>
  <si>
    <t>qualification module</t>
  </si>
  <si>
    <t>login module must allow only authorized access to the website.</t>
  </si>
  <si>
    <t>TC001 , TC002 , TC003</t>
  </si>
  <si>
    <t>my info module shall show the information of the employee and be able to edit some of his details.</t>
  </si>
  <si>
    <t xml:space="preserve">admin module  the other actor on the system can edit and add and manuplate </t>
  </si>
  <si>
    <t>TC113 - TC118</t>
  </si>
  <si>
    <t>TC119 - TC136</t>
  </si>
  <si>
    <t>meduim</t>
  </si>
  <si>
    <t>job module contains job titles paygrades and employments status and categories and workshifts</t>
  </si>
  <si>
    <t>TC023 - TC47</t>
  </si>
  <si>
    <t xml:space="preserve">TC048 - TC082 </t>
  </si>
  <si>
    <t>TC004 - TC021 and TC083 - TC112</t>
  </si>
  <si>
    <t>Total</t>
  </si>
  <si>
    <t>%</t>
  </si>
  <si>
    <t>contains general information about the organization, branch locations and structure</t>
  </si>
  <si>
    <t xml:space="preserve">contains the qualification for employees such as education , skills, language, license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</si>
</sst>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0" xfId="0" applyFill="1"/>
    <xf numFmtId="14" fontId="0" fillId="0" borderId="1" xfId="0" applyNumberFormat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'TC Summary'!$E$13</c:f>
              <c:strCache>
                <c:ptCount val="1"/>
                <c:pt idx="0">
                  <c:v> TCs Executed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Summary'!$E$14:$E$19</c:f>
              <c:numCache>
                <c:formatCode>General</c:formatCode>
                <c:ptCount val="6"/>
                <c:pt idx="0">
                  <c:v>3</c:v>
                </c:pt>
                <c:pt idx="1">
                  <c:v>46</c:v>
                </c:pt>
                <c:pt idx="2">
                  <c:v>6</c:v>
                </c:pt>
                <c:pt idx="3">
                  <c:v>18</c:v>
                </c:pt>
                <c:pt idx="4">
                  <c:v>25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E-4132-AF41-67A54FA70316}"/>
            </c:ext>
          </c:extLst>
        </c:ser>
        <c:ser>
          <c:idx val="1"/>
          <c:order val="1"/>
          <c:tx>
            <c:strRef>
              <c:f>'TC Summary'!$F$13</c:f>
              <c:strCache>
                <c:ptCount val="1"/>
                <c:pt idx="0">
                  <c:v> TCs Passed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Summary'!$F$14:$F$19</c:f>
              <c:numCache>
                <c:formatCode>General</c:formatCode>
                <c:ptCount val="6"/>
                <c:pt idx="0">
                  <c:v>2</c:v>
                </c:pt>
                <c:pt idx="1">
                  <c:v>43</c:v>
                </c:pt>
                <c:pt idx="2">
                  <c:v>5</c:v>
                </c:pt>
                <c:pt idx="3">
                  <c:v>17</c:v>
                </c:pt>
                <c:pt idx="4">
                  <c:v>24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E-4132-AF41-67A54FA70316}"/>
            </c:ext>
          </c:extLst>
        </c:ser>
        <c:ser>
          <c:idx val="2"/>
          <c:order val="2"/>
          <c:tx>
            <c:strRef>
              <c:f>'TC Summary'!$G$13</c:f>
              <c:strCache>
                <c:ptCount val="1"/>
                <c:pt idx="0">
                  <c:v>TC failed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Summary'!$G$14:$G$19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E-4132-AF41-67A54FA70316}"/>
            </c:ext>
          </c:extLst>
        </c:ser>
        <c:ser>
          <c:idx val="3"/>
          <c:order val="3"/>
          <c:tx>
            <c:strRef>
              <c:f>'TC Summary'!$H$13</c:f>
              <c:strCache>
                <c:ptCount val="1"/>
                <c:pt idx="0">
                  <c:v>TCs Pending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Summary'!$H$14:$H$19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E-4132-AF41-67A54FA70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51732111"/>
        <c:axId val="951731151"/>
      </c:barChart>
      <c:catAx>
        <c:axId val="95173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31151"/>
        <c:crosses val="autoZero"/>
        <c:auto val="1"/>
        <c:lblAlgn val="ctr"/>
        <c:lblOffset val="100"/>
        <c:noMultiLvlLbl val="0"/>
      </c:catAx>
      <c:valAx>
        <c:axId val="95173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3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'TC Summary'!$E$13</c:f>
              <c:strCache>
                <c:ptCount val="1"/>
                <c:pt idx="0">
                  <c:v> TCs Executed</c:v>
                </c:pt>
              </c:strCache>
            </c:strRef>
          </c:tx>
          <c:explosion val="1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Summary'!$E$14:$E$19</c:f>
              <c:numCache>
                <c:formatCode>General</c:formatCode>
                <c:ptCount val="6"/>
                <c:pt idx="0">
                  <c:v>3</c:v>
                </c:pt>
                <c:pt idx="1">
                  <c:v>46</c:v>
                </c:pt>
                <c:pt idx="2">
                  <c:v>6</c:v>
                </c:pt>
                <c:pt idx="3">
                  <c:v>18</c:v>
                </c:pt>
                <c:pt idx="4">
                  <c:v>25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F-4173-961C-9B0916D51813}"/>
            </c:ext>
          </c:extLst>
        </c:ser>
        <c:ser>
          <c:idx val="1"/>
          <c:order val="1"/>
          <c:tx>
            <c:strRef>
              <c:f>'TC Summary'!$F$13</c:f>
              <c:strCache>
                <c:ptCount val="1"/>
                <c:pt idx="0">
                  <c:v> TCs Passed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Summary'!$F$14:$F$19</c:f>
              <c:numCache>
                <c:formatCode>General</c:formatCode>
                <c:ptCount val="6"/>
                <c:pt idx="0">
                  <c:v>2</c:v>
                </c:pt>
                <c:pt idx="1">
                  <c:v>43</c:v>
                </c:pt>
                <c:pt idx="2">
                  <c:v>5</c:v>
                </c:pt>
                <c:pt idx="3">
                  <c:v>17</c:v>
                </c:pt>
                <c:pt idx="4">
                  <c:v>24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F-4173-961C-9B0916D51813}"/>
            </c:ext>
          </c:extLst>
        </c:ser>
        <c:ser>
          <c:idx val="2"/>
          <c:order val="2"/>
          <c:tx>
            <c:strRef>
              <c:f>'TC Summary'!$G$13</c:f>
              <c:strCache>
                <c:ptCount val="1"/>
                <c:pt idx="0">
                  <c:v>TC failed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Summary'!$G$14:$G$19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F-4173-961C-9B0916D51813}"/>
            </c:ext>
          </c:extLst>
        </c:ser>
        <c:ser>
          <c:idx val="3"/>
          <c:order val="3"/>
          <c:tx>
            <c:strRef>
              <c:f>'TC Summary'!$H$13</c:f>
              <c:strCache>
                <c:ptCount val="1"/>
                <c:pt idx="0">
                  <c:v>TCs 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'TC Summary'!$B$14:$B$19</c:f>
              <c:strCache>
                <c:ptCount val="6"/>
                <c:pt idx="0">
                  <c:v>Login functionallity</c:v>
                </c:pt>
                <c:pt idx="1">
                  <c:v>myinfo module</c:v>
                </c:pt>
                <c:pt idx="2">
                  <c:v>admin module</c:v>
                </c:pt>
                <c:pt idx="3">
                  <c:v>job module</c:v>
                </c:pt>
                <c:pt idx="4">
                  <c:v>organization module</c:v>
                </c:pt>
                <c:pt idx="5">
                  <c:v>qualification module</c:v>
                </c:pt>
              </c:strCache>
            </c:strRef>
          </c:cat>
          <c:val>
            <c:numRef>
              <c:f>'TC Summary'!$H$14:$H$19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F-4173-961C-9B0916D51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1323975</xdr:colOff>
      <xdr:row>21</xdr:row>
      <xdr:rowOff>119061</xdr:rowOff>
    </xdr:from>
    <xdr:to>
      <xdr:col>2</xdr:col>
      <xdr:colOff>4838700</xdr:colOff>
      <xdr:row>40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D77B49-EC22-E992-C7FD-C4B3EA528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21</xdr:row>
      <xdr:rowOff>128587</xdr:rowOff>
    </xdr:from>
    <xdr:to>
      <xdr:col>9</xdr:col>
      <xdr:colOff>66675</xdr:colOff>
      <xdr:row>39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14D717-DAD0-97FD-85F1-F4E3E5FA8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8"/>
  <sheetViews>
    <sheetView tabSelected="1" topLeftCell="A3" zoomScaleNormal="100" workbookViewId="0">
      <selection activeCell="B20" sqref="B20:C21"/>
    </sheetView>
  </sheetViews>
  <sheetFormatPr defaultRowHeight="15" x14ac:dyDescent="0.25"/>
  <cols>
    <col min="1" max="1" width="20" style="4" customWidth="1"/>
    <col min="2" max="2" width="13.28515625" bestFit="1" customWidth="1"/>
    <col min="3" max="3" width="74.5703125" bestFit="1" customWidth="1"/>
    <col min="4" max="4" width="28.85546875" customWidth="1"/>
    <col min="5" max="5" width="13.140625" bestFit="1" customWidth="1"/>
    <col min="6" max="6" width="11.5703125" bestFit="1" customWidth="1"/>
    <col min="7" max="7" width="8.7109375" bestFit="1" customWidth="1"/>
    <col min="8" max="8" width="11.7109375" bestFit="1" customWidth="1"/>
    <col min="9" max="9" width="9.85546875" customWidth="1"/>
    <col min="10" max="10" width="17" customWidth="1"/>
    <col min="11" max="12" width="9.140625" style="4"/>
    <col min="13" max="13" width="5.140625" style="4" bestFit="1" customWidth="1"/>
    <col min="14" max="14" width="26" style="4" bestFit="1" customWidth="1"/>
    <col min="15" max="15" width="13.140625" style="4" bestFit="1" customWidth="1"/>
    <col min="16" max="19" width="2" style="4" bestFit="1" customWidth="1"/>
    <col min="20" max="20" width="12.28515625" style="4" bestFit="1" customWidth="1"/>
    <col min="21" max="21" width="10.42578125" style="4" bestFit="1" customWidth="1"/>
    <col min="22" max="43" width="9.140625" style="4"/>
  </cols>
  <sheetData>
    <row r="1" spans="2:10" x14ac:dyDescent="0.25">
      <c r="B1" s="4"/>
      <c r="C1" s="4"/>
      <c r="D1" s="4"/>
      <c r="E1" s="4"/>
      <c r="F1" s="4"/>
      <c r="G1" s="4"/>
      <c r="H1" s="4"/>
      <c r="I1" s="4"/>
      <c r="J1" s="4"/>
    </row>
    <row r="2" spans="2:10" x14ac:dyDescent="0.25">
      <c r="B2" s="4"/>
      <c r="C2" s="4"/>
      <c r="D2" s="4"/>
      <c r="E2" s="4"/>
      <c r="F2" s="4"/>
      <c r="G2" s="4"/>
      <c r="H2" s="4"/>
      <c r="I2" s="4"/>
      <c r="J2" s="4"/>
    </row>
    <row r="3" spans="2:10" ht="28.5" x14ac:dyDescent="0.45">
      <c r="B3" s="6" t="s">
        <v>4</v>
      </c>
      <c r="C3" s="6"/>
      <c r="D3" s="6"/>
      <c r="E3" s="6"/>
      <c r="F3" s="6"/>
      <c r="G3" s="6"/>
      <c r="H3" s="6"/>
      <c r="I3" s="6"/>
      <c r="J3" s="6"/>
    </row>
    <row r="4" spans="2:10" s="4" customFormat="1" x14ac:dyDescent="0.25"/>
    <row r="5" spans="2:10" x14ac:dyDescent="0.25">
      <c r="B5" s="3" t="s">
        <v>5</v>
      </c>
      <c r="C5" s="3" t="s">
        <v>16</v>
      </c>
      <c r="D5" s="4"/>
      <c r="E5" s="4"/>
      <c r="F5" s="4"/>
      <c r="G5" s="4"/>
      <c r="H5" s="4"/>
      <c r="I5" s="4"/>
      <c r="J5" s="4"/>
    </row>
    <row r="6" spans="2:10" x14ac:dyDescent="0.25">
      <c r="B6" s="3" t="s">
        <v>6</v>
      </c>
      <c r="C6" s="5">
        <v>45973</v>
      </c>
      <c r="D6" s="4"/>
      <c r="E6" s="4"/>
      <c r="F6" s="4"/>
      <c r="G6" s="4"/>
      <c r="H6" s="4"/>
      <c r="I6" s="4"/>
      <c r="J6" s="4"/>
    </row>
    <row r="7" spans="2:10" x14ac:dyDescent="0.25">
      <c r="B7" s="3" t="s">
        <v>7</v>
      </c>
      <c r="C7" s="3" t="s">
        <v>17</v>
      </c>
      <c r="D7" s="4"/>
      <c r="E7" s="4"/>
      <c r="F7" s="4"/>
      <c r="G7" s="4"/>
      <c r="H7" s="4"/>
      <c r="I7" s="4"/>
      <c r="J7" s="4"/>
    </row>
    <row r="8" spans="2:10" x14ac:dyDescent="0.25">
      <c r="B8" s="3" t="s">
        <v>8</v>
      </c>
      <c r="C8" s="3" t="s">
        <v>18</v>
      </c>
      <c r="D8" s="4"/>
      <c r="E8" s="4"/>
      <c r="F8" s="4"/>
      <c r="G8" s="4"/>
      <c r="H8" s="4"/>
      <c r="I8" s="4"/>
      <c r="J8" s="4"/>
    </row>
    <row r="9" spans="2:10" s="4" customFormat="1" x14ac:dyDescent="0.25"/>
    <row r="10" spans="2:10" s="4" customFormat="1" x14ac:dyDescent="0.25"/>
    <row r="11" spans="2:10" s="4" customFormat="1" x14ac:dyDescent="0.25"/>
    <row r="12" spans="2:10" s="4" customFormat="1" x14ac:dyDescent="0.25"/>
    <row r="13" spans="2:10" x14ac:dyDescent="0.25">
      <c r="B13" s="1" t="s">
        <v>11</v>
      </c>
      <c r="C13" s="1" t="s">
        <v>0</v>
      </c>
      <c r="D13" s="1" t="s">
        <v>14</v>
      </c>
      <c r="E13" s="1" t="s">
        <v>9</v>
      </c>
      <c r="F13" s="1" t="s">
        <v>10</v>
      </c>
      <c r="G13" s="1" t="s">
        <v>12</v>
      </c>
      <c r="H13" s="1" t="s">
        <v>1</v>
      </c>
      <c r="I13" s="1" t="s">
        <v>2</v>
      </c>
      <c r="J13" s="1" t="s">
        <v>3</v>
      </c>
    </row>
    <row r="14" spans="2:10" ht="30" x14ac:dyDescent="0.25">
      <c r="B14" s="2" t="s">
        <v>19</v>
      </c>
      <c r="C14" s="2" t="s">
        <v>25</v>
      </c>
      <c r="D14" t="s">
        <v>26</v>
      </c>
      <c r="E14" s="2">
        <v>3</v>
      </c>
      <c r="F14" s="2">
        <v>2</v>
      </c>
      <c r="G14" s="2">
        <v>1</v>
      </c>
      <c r="H14" s="2">
        <v>0</v>
      </c>
      <c r="I14" s="2" t="s">
        <v>13</v>
      </c>
      <c r="J14" s="2"/>
    </row>
    <row r="15" spans="2:10" ht="30" x14ac:dyDescent="0.25">
      <c r="B15" s="2" t="s">
        <v>20</v>
      </c>
      <c r="C15" s="2" t="s">
        <v>27</v>
      </c>
      <c r="D15" s="3" t="s">
        <v>35</v>
      </c>
      <c r="E15" s="2">
        <v>46</v>
      </c>
      <c r="F15" s="2">
        <v>43</v>
      </c>
      <c r="G15" s="2">
        <v>1</v>
      </c>
      <c r="H15" s="2">
        <v>2</v>
      </c>
      <c r="I15" s="2" t="s">
        <v>15</v>
      </c>
      <c r="J15" s="2"/>
    </row>
    <row r="16" spans="2:10" ht="30" x14ac:dyDescent="0.25">
      <c r="B16" s="2" t="s">
        <v>21</v>
      </c>
      <c r="C16" s="2" t="s">
        <v>28</v>
      </c>
      <c r="D16" s="3" t="s">
        <v>29</v>
      </c>
      <c r="E16" s="2">
        <v>6</v>
      </c>
      <c r="F16" s="2">
        <v>5</v>
      </c>
      <c r="G16" s="2">
        <v>0</v>
      </c>
      <c r="H16" s="2">
        <v>0</v>
      </c>
      <c r="I16" s="2" t="s">
        <v>31</v>
      </c>
      <c r="J16" s="2"/>
    </row>
    <row r="17" spans="2:10" ht="30" x14ac:dyDescent="0.25">
      <c r="B17" s="2" t="s">
        <v>22</v>
      </c>
      <c r="C17" s="2" t="s">
        <v>32</v>
      </c>
      <c r="D17" s="3" t="s">
        <v>30</v>
      </c>
      <c r="E17" s="2">
        <v>18</v>
      </c>
      <c r="F17" s="2">
        <v>17</v>
      </c>
      <c r="G17" s="2">
        <v>1</v>
      </c>
      <c r="H17" s="2">
        <v>0</v>
      </c>
      <c r="I17" s="2" t="s">
        <v>31</v>
      </c>
      <c r="J17" s="2"/>
    </row>
    <row r="18" spans="2:10" ht="30" x14ac:dyDescent="0.25">
      <c r="B18" s="2" t="s">
        <v>23</v>
      </c>
      <c r="C18" s="2" t="s">
        <v>38</v>
      </c>
      <c r="D18" s="7" t="s">
        <v>33</v>
      </c>
      <c r="E18" s="2">
        <v>25</v>
      </c>
      <c r="F18" s="2">
        <v>24</v>
      </c>
      <c r="G18" s="2">
        <v>1</v>
      </c>
      <c r="H18" s="2">
        <v>0</v>
      </c>
      <c r="I18" s="2" t="s">
        <v>31</v>
      </c>
      <c r="J18" s="2"/>
    </row>
    <row r="19" spans="2:10" ht="30" x14ac:dyDescent="0.25">
      <c r="B19" s="2" t="s">
        <v>24</v>
      </c>
      <c r="C19" s="2" t="s">
        <v>39</v>
      </c>
      <c r="D19" s="7" t="s">
        <v>34</v>
      </c>
      <c r="E19" s="2">
        <v>35</v>
      </c>
      <c r="F19" s="2">
        <v>34</v>
      </c>
      <c r="G19" s="2">
        <v>1</v>
      </c>
      <c r="H19" s="2">
        <v>0</v>
      </c>
      <c r="I19" s="2" t="s">
        <v>31</v>
      </c>
      <c r="J19" s="2"/>
    </row>
    <row r="20" spans="2:10" x14ac:dyDescent="0.25">
      <c r="B20" s="9"/>
      <c r="C20" s="10"/>
      <c r="D20" s="2" t="s">
        <v>36</v>
      </c>
      <c r="E20" s="2">
        <f>SUM(E14:E19)</f>
        <v>133</v>
      </c>
      <c r="F20" s="2">
        <f>SUM(F14:F19)</f>
        <v>125</v>
      </c>
      <c r="G20" s="2">
        <f>SUM(G14:G19)</f>
        <v>5</v>
      </c>
      <c r="H20" s="2">
        <f t="shared" ref="G20:H20" si="0">SUM(H14:H19)</f>
        <v>2</v>
      </c>
      <c r="I20" s="9"/>
      <c r="J20" s="10"/>
    </row>
    <row r="21" spans="2:10" x14ac:dyDescent="0.25">
      <c r="B21" s="11"/>
      <c r="C21" s="12"/>
      <c r="D21" s="2" t="s">
        <v>37</v>
      </c>
      <c r="E21" s="2"/>
      <c r="F21" s="8">
        <f>(F20/E20)*100</f>
        <v>93.984962406015043</v>
      </c>
      <c r="G21" s="8">
        <f>(G20/E20)*100</f>
        <v>3.7593984962406015</v>
      </c>
      <c r="H21" s="8">
        <f>(H20/E20)*100</f>
        <v>1.5037593984962405</v>
      </c>
      <c r="I21" s="11"/>
      <c r="J21" s="12"/>
    </row>
    <row r="22" spans="2:10" s="4" customFormat="1" x14ac:dyDescent="0.25"/>
    <row r="23" spans="2:10" s="4" customFormat="1" x14ac:dyDescent="0.25"/>
    <row r="24" spans="2:10" s="4" customFormat="1" x14ac:dyDescent="0.25"/>
    <row r="25" spans="2:10" s="4" customFormat="1" x14ac:dyDescent="0.25"/>
    <row r="26" spans="2:10" s="4" customFormat="1" x14ac:dyDescent="0.25"/>
    <row r="27" spans="2:10" s="4" customFormat="1" x14ac:dyDescent="0.25"/>
    <row r="28" spans="2:10" s="4" customFormat="1" x14ac:dyDescent="0.25"/>
    <row r="29" spans="2:10" s="4" customFormat="1" x14ac:dyDescent="0.25"/>
    <row r="30" spans="2:10" s="4" customFormat="1" x14ac:dyDescent="0.25"/>
    <row r="31" spans="2:10" s="4" customFormat="1" x14ac:dyDescent="0.25"/>
    <row r="32" spans="2:10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</sheetData>
  <mergeCells count="3">
    <mergeCell ref="B3:J3"/>
    <mergeCell ref="B20:C21"/>
    <mergeCell ref="I20:J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Ghassan halaweh</cp:lastModifiedBy>
  <dcterms:created xsi:type="dcterms:W3CDTF">2025-12-01T10:32:12Z</dcterms:created>
  <dcterms:modified xsi:type="dcterms:W3CDTF">2025-12-11T16:06:00Z</dcterms:modified>
</cp:coreProperties>
</file>